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Config" sheetId="2" state="visible" r:id="rId2"/>
  </sheets>
  <definedNames>
    <definedName name="Jornada">Config!$B$4</definedName>
    <definedName name="TolMin">Config!$B$5</definedName>
    <definedName name="AlmocoPadrao">Config!$B$6</definedName>
    <definedName name="SaldoInicialMin">Config!$B$7</definedName>
    <definedName name="JornadaMin">Config!$B$9</definedName>
    <definedName name="AreaBotao">Registros!$A$3:$C$3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hh:mm"/>
    <numFmt numFmtId="166" formatCode="[h]:mm"/>
    <numFmt numFmtId="167" formatCode="+0;-0;0"/>
    <numFmt numFmtId="168" formatCode="mmm/yyyy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color rgb="00595959"/>
      <sz val="9"/>
    </font>
    <font>
      <name val="Arial"/>
      <color rgb="00595959"/>
    </font>
    <font>
      <name val="Arial"/>
      <b val="1"/>
      <color rgb="001F3864"/>
      <sz val="12"/>
    </font>
    <font>
      <name val="Arial"/>
      <color rgb="00000000"/>
      <sz val="10"/>
    </font>
    <font>
      <name val="Arial"/>
      <sz val="10"/>
    </font>
    <font>
      <name val="Arial"/>
      <b val="1"/>
      <color rgb="00FFFFFF"/>
      <sz val="18"/>
    </font>
    <font>
      <name val="Arial"/>
      <color rgb="00D9E1F2"/>
      <sz val="10"/>
    </font>
    <font>
      <name val="Arial"/>
      <i val="1"/>
      <color rgb="002F5597"/>
      <sz val="9"/>
    </font>
    <font>
      <name val="Arial"/>
      <color rgb="000000FF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7F6000"/>
      </patternFill>
    </fill>
    <fill>
      <patternFill patternType="solid">
        <fgColor rgb="00FFF8E1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2" borderId="0" applyAlignment="1" pivotButton="0" quotePrefix="0" xfId="0">
      <alignment vertical="center" indent="1"/>
    </xf>
    <xf numFmtId="0" fontId="0" fillId="2" borderId="0" pivotButton="0" quotePrefix="0" xfId="0"/>
    <xf numFmtId="0" fontId="11" fillId="2" borderId="0" applyAlignment="1" pivotButton="0" quotePrefix="0" xfId="0">
      <alignment vertical="center" indent="1"/>
    </xf>
    <xf numFmtId="0" fontId="1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4" fontId="9" fillId="5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left"/>
    </xf>
    <xf numFmtId="0" fontId="1" fillId="0" borderId="0" pivotButton="0" quotePrefix="0" xfId="0"/>
    <xf numFmtId="0" fontId="14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2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164" fontId="13" fillId="3" borderId="0" pivotButton="0" quotePrefix="0" xfId="0"/>
    <xf numFmtId="0" fontId="13" fillId="3" borderId="0" pivotButton="0" quotePrefix="0" xfId="0"/>
    <xf numFmtId="1" fontId="4" fillId="3" borderId="1" applyAlignment="1" pivotButton="0" quotePrefix="0" xfId="0">
      <alignment horizontal="center"/>
    </xf>
    <xf numFmtId="167" fontId="4" fillId="3" borderId="1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9" fillId="5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4" fontId="13" fillId="3" borderId="0" pivotButton="0" quotePrefix="0" xfId="0"/>
    <xf numFmtId="167" fontId="4" fillId="3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0F6E56"/>
      </font>
    </dxf>
    <dxf>
      <font>
        <b val="1"/>
        <color rgb="00A32D2D"/>
      </font>
    </dxf>
    <dxf>
      <font>
        <color rgb="00085041"/>
      </font>
      <fill>
        <patternFill patternType="solid">
          <fgColor rgb="00E1F5EE"/>
          <bgColor rgb="00E1F5EE"/>
        </patternFill>
      </fill>
    </dxf>
    <dxf>
      <font>
        <color rgb="00791F1F"/>
      </font>
      <fill>
        <patternFill patternType="solid">
          <fgColor rgb="00FCEBEB"/>
          <bgColor rgb="00FCEBEB"/>
        </patternFill>
      </fill>
    </dxf>
    <dxf>
      <font>
        <color rgb="00444441"/>
      </font>
      <fill>
        <patternFill patternType="solid">
          <fgColor rgb="00F1EFE8"/>
          <bgColor rgb="00F1EFE8"/>
        </patternFill>
      </fill>
    </dxf>
    <dxf>
      <font>
        <color rgb="00633806"/>
      </font>
      <fill>
        <patternFill patternType="solid">
          <fgColor rgb="00FAEEDA"/>
          <bgColor rgb="00FAEEDA"/>
        </patternFill>
      </fill>
    </dxf>
    <dxf>
      <font>
        <color rgb="000C447C"/>
      </font>
      <fill>
        <patternFill patternType="solid">
          <fgColor rgb="00E6F1FB"/>
          <bgColor rgb="00E6F1FB"/>
        </patternFill>
      </fill>
    </dxf>
    <dxf>
      <font>
        <color rgb="003C3489"/>
      </font>
      <fill>
        <patternFill patternType="solid">
          <fgColor rgb="00EEEDFE"/>
          <bgColor rgb="00EEEDF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Controle de ponto</author>
  </authors>
  <commentList>
    <comment ref="C5" authorId="0" shapeId="0">
      <text>
        <t>Normal (ou vazio), Feriado, Folga, Atestado = banco 0; Falta = -8:48.</t>
      </text>
    </comment>
    <comment ref="L5" authorId="0" shapeId="0">
      <text>
        <t>Banco do dia já com a tolerância: |diferença| ≤ 10 min → 0; acima disso entra o valor inteiro.</t>
      </text>
    </comment>
    <comment ref="Q5" authorId="0" shapeId="0">
      <text>
        <t>Horário para fechar a jornada (8:48). Usa o retorno real do almoço; antes disso supõe almoço de 1h.</t>
      </text>
    </comment>
  </commentList>
</comments>
</file>

<file path=xl/tables/table1.xml><?xml version="1.0" encoding="utf-8"?>
<table xmlns="http://schemas.openxmlformats.org/spreadsheetml/2006/main" id="1" name="tbRegistros" displayName="tbRegistros" ref="A5:S6" headerRowCount="1">
  <autoFilter ref="A5:S6"/>
  <tableColumns count="19">
    <tableColumn id="1" name="Data"/>
    <tableColumn id="2" name="Dia">
      <calculatedColumnFormula>IF(A6="","",CHOOSE(WEEKDAY(A6),"Dom","Seg","Ter","Qua","Qui","Sex","Sáb"))</calculatedColumnFormula>
    </tableColumn>
    <tableColumn id="3" name="Tipo"/>
    <tableColumn id="4" name="Entrada"/>
    <tableColumn id="5" name="Saída almoço"/>
    <tableColumn id="6" name="Retorno almoço"/>
    <tableColumn id="7" name="Saída"/>
    <tableColumn id="8" name="Almoço (min)">
      <calculatedColumnFormula>IF(COUNT(E6:F6)=2,ROUND((F6-E6)*1440,0),"")</calculatedColumnFormula>
    </tableColumn>
    <tableColumn id="9" name="Trabalhado (min)">
      <calculatedColumnFormula>IF(COUNT(D6:G6)=4,ROUND(((E6-D6)+(G6-F6))*1440,0),"")</calculatedColumnFormula>
    </tableColumn>
    <tableColumn id="10" name="Trabalhado">
      <calculatedColumnFormula>IF(I6="","",I6/1440)</calculatedColumnFormula>
    </tableColumn>
    <tableColumn id="11" name="Diferença (min)">
      <calculatedColumnFormula>IF(I6="","",I6-JornadaMin)</calculatedColumnFormula>
    </tableColumn>
    <tableColumn id="12" name="Banco dia (min)">
      <calculatedColumnFormula>IF(A6="","",IF(C6="Falta",-JornadaMin,IF(OR(C6="Feriado",C6="Folga",C6="Atestado"),0,IF(K6="","",IF(ABS(K6)&lt;=TolMin,0,K6)))))</calculatedColumnFormula>
    </tableColumn>
    <tableColumn id="13" name="Banco dia">
      <calculatedColumnFormula>IF(L6="","",IF(L6&lt;0,"-",IF(L6&gt;0,"+",""))&amp;TEXT(ABS(L6)/1440,"[h]:mm"))</calculatedColumnFormula>
    </tableColumn>
    <tableColumn id="14" name="Acumulado (min)">
      <calculatedColumnFormula>IF(A6="","",SaldoInicialMin+SUM(L$6:L6))</calculatedColumnFormula>
    </tableColumn>
    <tableColumn id="15" name="Acumulado">
      <calculatedColumnFormula>IF(N6="","",IF(N6&lt;0,"-",IF(N6&gt;0,"+",""))&amp;TEXT(ABS(N6)/1440,"[h]:mm"))</calculatedColumnFormula>
    </tableColumn>
    <tableColumn id="16" name="Status">
      <calculatedColumnFormula>IF(A6="","",IF(OR(C6="Feriado",C6="Folga",C6="Atestado",C6="Falta"),C6,IF(I6="","Em andamento",IF(L6&gt;0,"Positivo",IF(L6&lt;0,"Negativo",IF(K6=0,"Completo","Na tolerância"))))))</calculatedColumnFormula>
    </tableColumn>
    <tableColumn id="17" name="Saída sugerida">
      <calculatedColumnFormula>IF(OR(D6="",C6="Feriado",C6="Folga",C6="Atestado",C6="Falta"),"",IF(COUNT(E6:F6)=2,F6+(Jornada-(E6-D6)),D6+Jornada+AlmocoPadrao))</calculatedColumnFormula>
    </tableColumn>
    <tableColumn id="18" name="Mês">
      <calculatedColumnFormula>IF(A6="","",DATE(YEAR(A6),MONTH(A6),1))</calculatedColumnFormula>
    </tableColumn>
    <tableColumn id="19" name="Observação"/>
  </tableColumns>
  <tableStyleInfo name="TableStyleLight15" showRowStripes="1"/>
</table>
</file>

<file path=xl/tables/table2.xml><?xml version="1.0" encoding="utf-8"?>
<table xmlns="http://schemas.openxmlformats.org/spreadsheetml/2006/main" id="2" name="tbFeriados" displayName="tbFeriados" ref="E3:F4" headerRowCount="1">
  <autoFilter ref="E3:F4"/>
  <tableColumns count="2">
    <tableColumn id="5" name="Data"/>
    <tableColumn id="6" name="Feriado local / ponto facultativ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2" customWidth="1" min="14" max="14"/>
    <col width="11" customWidth="1" min="15" max="15"/>
    <col width="14" customWidth="1" min="16" max="16"/>
    <col width="11" customWidth="1" min="17" max="17"/>
    <col width="10" customWidth="1" min="18" max="18"/>
    <col width="30" customWidth="1" min="19" max="19"/>
  </cols>
  <sheetData>
    <row r="1" ht="30" customHeight="1">
      <c r="A1" s="1" t="inlineStr">
        <is>
          <t>Controle de ponto</t>
        </is>
      </c>
    </row>
    <row r="2" ht="18" customHeight="1">
      <c r="A2" s="3">
        <f>"Jornada "&amp;TEXT(Jornada,"h:mm")&amp;" · tolerância "&amp;TolMin&amp;" min/dia · "&amp;COUNT(tbRegistros[Data])&amp;" dias registrados · banco acumulado "&amp;IF(COUNT(tbRegistros[Acumulado (min)])=0,"0:00",INDEX(tbRegistros[Acumulado],COUNT(tbRegistros[Data])))</f>
        <v/>
      </c>
    </row>
    <row r="3" ht="30" customHeight="1">
      <c r="A3" s="4" t="inlineStr">
        <is>
          <t>Espaço do botão do painel</t>
        </is>
      </c>
    </row>
    <row r="4" ht="6" customHeight="1"/>
    <row r="5" ht="32" customHeight="1">
      <c r="A5" s="6" t="inlineStr">
        <is>
          <t>Data</t>
        </is>
      </c>
      <c r="B5" s="7" t="inlineStr">
        <is>
          <t>Dia</t>
        </is>
      </c>
      <c r="C5" s="6" t="inlineStr">
        <is>
          <t>Tipo</t>
        </is>
      </c>
      <c r="D5" s="6" t="inlineStr">
        <is>
          <t>Entrada</t>
        </is>
      </c>
      <c r="E5" s="6" t="inlineStr">
        <is>
          <t>Saída almoço</t>
        </is>
      </c>
      <c r="F5" s="6" t="inlineStr">
        <is>
          <t>Retorno almoço</t>
        </is>
      </c>
      <c r="G5" s="6" t="inlineStr">
        <is>
          <t>Saída</t>
        </is>
      </c>
      <c r="H5" s="7" t="inlineStr">
        <is>
          <t>Almoço (min)</t>
        </is>
      </c>
      <c r="I5" s="7" t="inlineStr">
        <is>
          <t>Trabalhado (min)</t>
        </is>
      </c>
      <c r="J5" s="7" t="inlineStr">
        <is>
          <t>Trabalhado</t>
        </is>
      </c>
      <c r="K5" s="7" t="inlineStr">
        <is>
          <t>Diferença (min)</t>
        </is>
      </c>
      <c r="L5" s="7" t="inlineStr">
        <is>
          <t>Banco dia (min)</t>
        </is>
      </c>
      <c r="M5" s="7" t="inlineStr">
        <is>
          <t>Banco dia</t>
        </is>
      </c>
      <c r="N5" s="7" t="inlineStr">
        <is>
          <t>Acumulado (min)</t>
        </is>
      </c>
      <c r="O5" s="7" t="inlineStr">
        <is>
          <t>Acumulado</t>
        </is>
      </c>
      <c r="P5" s="7" t="inlineStr">
        <is>
          <t>Status</t>
        </is>
      </c>
      <c r="Q5" s="7" t="inlineStr">
        <is>
          <t>Saída sugerida</t>
        </is>
      </c>
      <c r="R5" s="7" t="inlineStr">
        <is>
          <t>Mês</t>
        </is>
      </c>
      <c r="S5" s="6" t="inlineStr">
        <is>
          <t>Observação</t>
        </is>
      </c>
    </row>
    <row r="6">
      <c r="A6" s="33" t="n"/>
      <c r="B6" s="9">
        <f>IF(A6="","",CHOOSE(WEEKDAY(A6),"Dom","Seg","Ter","Qua","Qui","Sex","Sáb"))</f>
        <v/>
      </c>
      <c r="C6" s="10" t="n"/>
      <c r="D6" s="34" t="n"/>
      <c r="E6" s="34" t="n"/>
      <c r="F6" s="34" t="n"/>
      <c r="G6" s="34" t="n"/>
      <c r="H6" s="12">
        <f>IF(COUNT(E6:F6)=2,ROUND((F6-E6)*1440,0),"")</f>
        <v/>
      </c>
      <c r="I6" s="12">
        <f>IF(COUNT(D6:G6)=4,ROUND(((E6-D6)+(G6-F6))*1440,0),"")</f>
        <v/>
      </c>
      <c r="J6" s="35">
        <f>IF(I6="","",I6/1440)</f>
        <v/>
      </c>
      <c r="K6" s="36">
        <f>IF(I6="","",I6-JornadaMin)</f>
        <v/>
      </c>
      <c r="L6" s="36">
        <f>IF(A6="","",IF(C6="Falta",-JornadaMin,IF(OR(C6="Feriado",C6="Folga",C6="Atestado"),0,IF(K6="","",IF(ABS(K6)&lt;=TolMin,0,K6)))))</f>
        <v/>
      </c>
      <c r="M6" s="9">
        <f>IF(L6="","",IF(L6&lt;0,"-",IF(L6&gt;0,"+",""))&amp;TEXT(ABS(L6)/1440,"[h]:mm"))</f>
        <v/>
      </c>
      <c r="N6" s="36">
        <f>IF(A6="","",SaldoInicialMin+SUM(L$6:L6))</f>
        <v/>
      </c>
      <c r="O6" s="9">
        <f>IF(N6="","",IF(N6&lt;0,"-",IF(N6&gt;0,"+",""))&amp;TEXT(ABS(N6)/1440,"[h]:mm"))</f>
        <v/>
      </c>
      <c r="P6" s="9">
        <f>IF(A6="","",IF(OR(C6="Feriado",C6="Folga",C6="Atestado",C6="Falta"),C6,IF(I6="","Em andamento",IF(L6&gt;0,"Positivo",IF(L6&lt;0,"Negativo",IF(K6=0,"Completo","Na tolerância"))))))</f>
        <v/>
      </c>
      <c r="Q6" s="37">
        <f>IF(OR(D6="",C6="Feriado",C6="Folga",C6="Atestado",C6="Falta"),"",IF(COUNT(E6:F6)=2,F6+(Jornada-(E6-D6)),D6+Jornada+AlmocoPadrao))</f>
        <v/>
      </c>
      <c r="R6" s="38">
        <f>IF(A6="","",DATE(YEAR(A6),MONTH(A6),1))</f>
        <v/>
      </c>
      <c r="S6" s="17" t="n"/>
    </row>
  </sheetData>
  <mergeCells count="3">
    <mergeCell ref="A3:C3"/>
    <mergeCell ref="A1:S1"/>
    <mergeCell ref="A2:S2"/>
  </mergeCells>
  <conditionalFormatting sqref="L6:M5000">
    <cfRule type="expression" priority="1" dxfId="0">
      <formula>AND(ISNUMBER($L6),$L6&gt;0)</formula>
    </cfRule>
    <cfRule type="expression" priority="2" dxfId="1">
      <formula>AND(ISNUMBER($L6),$L6&lt;0)</formula>
    </cfRule>
  </conditionalFormatting>
  <conditionalFormatting sqref="N6:O5000">
    <cfRule type="expression" priority="3" dxfId="0">
      <formula>AND(ISNUMBER($N6),$N6&gt;0)</formula>
    </cfRule>
    <cfRule type="expression" priority="4" dxfId="1">
      <formula>AND(ISNUMBER($N6),$N6&lt;0)</formula>
    </cfRule>
  </conditionalFormatting>
  <conditionalFormatting sqref="P6:P5000">
    <cfRule type="expression" priority="5" dxfId="2">
      <formula>$P6="Positivo"</formula>
    </cfRule>
    <cfRule type="expression" priority="6" dxfId="3">
      <formula>$P6="Negativo"</formula>
    </cfRule>
    <cfRule type="expression" priority="7" dxfId="4">
      <formula>$P6="Na tolerância"</formula>
    </cfRule>
    <cfRule type="expression" priority="8" dxfId="4">
      <formula>$P6="Completo"</formula>
    </cfRule>
    <cfRule type="expression" priority="9" dxfId="5">
      <formula>$P6="Em andamento"</formula>
    </cfRule>
    <cfRule type="expression" priority="10" dxfId="3">
      <formula>$P6="Falta"</formula>
    </cfRule>
    <cfRule type="expression" priority="11" dxfId="6">
      <formula>$P6="Feriado"</formula>
    </cfRule>
    <cfRule type="expression" priority="12" dxfId="6">
      <formula>$P6="Folga"</formula>
    </cfRule>
    <cfRule type="expression" priority="13" dxfId="7">
      <formula>$P6="Atestado"</formula>
    </cfRule>
  </conditionalFormatting>
  <conditionalFormatting sqref="A6:S5000">
    <cfRule type="expression" priority="14" dxfId="8">
      <formula>AND($A6&lt;&gt;"",OR(WEEKDAY($A6)=1,WEEKDAY($A6)=7))</formula>
    </cfRule>
  </conditionalFormatting>
  <dataValidations count="3">
    <dataValidation sqref="C6:C5000" showDropDown="0" showInputMessage="0" showErrorMessage="0" allowBlank="1" errorTitle="Tipo inválido" error="Escolha: Normal, Feriado, Folga, Atestado ou Falta." type="list">
      <formula1>"Normal,Feriado,Folga,Atestado,Falta"</formula1>
    </dataValidation>
    <dataValidation sqref="D6:G5000" showDropDown="0" showInputMessage="0" showErrorMessage="0" allowBlank="1" errorTitle="Horário inválido" error="Digite um horário no formato hh:mm (ex.: 08:05)." type="time" operator="between">
      <formula1>0</formula1>
      <formula2>0.999988</formula2>
    </dataValidation>
    <dataValidation sqref="A6:A5000" showDropDown="0" showInputMessage="0" showErrorMessage="0" allowBlank="1" errorTitle="Data inválida" error="Digite uma data no formato dd/mm/aaaa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13" customWidth="1" min="5" max="5"/>
    <col width="38" customWidth="1" min="6" max="6"/>
  </cols>
  <sheetData>
    <row r="1">
      <c r="A1" s="18" t="inlineStr">
        <is>
          <t>Configurações do controle de ponto</t>
        </is>
      </c>
    </row>
    <row r="2">
      <c r="E2" s="19" t="inlineStr">
        <is>
          <t>Feriados municipais/estaduais e pontos facultativos (os nacionais o painel calcula sozinho)</t>
        </is>
      </c>
    </row>
    <row r="3">
      <c r="A3" s="20" t="inlineStr">
        <is>
          <t>Parâmetro</t>
        </is>
      </c>
      <c r="B3" s="20" t="inlineStr">
        <is>
          <t>Valor</t>
        </is>
      </c>
      <c r="C3" s="20" t="inlineStr">
        <is>
          <t>Para que serve</t>
        </is>
      </c>
      <c r="E3" s="20" t="inlineStr">
        <is>
          <t>Data</t>
        </is>
      </c>
      <c r="F3" s="20" t="inlineStr">
        <is>
          <t>Feriado local / ponto facultativo</t>
        </is>
      </c>
    </row>
    <row r="4" ht="30" customHeight="1">
      <c r="A4" s="21" t="inlineStr">
        <is>
          <t>Jornada diária (sem almoço)</t>
        </is>
      </c>
      <c r="B4" s="22" t="n">
        <v>0.3666666666666666</v>
      </c>
      <c r="C4" s="23" t="inlineStr">
        <is>
          <t>Carga horária contratual por dia, sem contar o almoço.</t>
        </is>
      </c>
      <c r="E4" s="39" t="n"/>
      <c r="F4" s="25" t="n"/>
    </row>
    <row r="5" ht="30" customHeight="1">
      <c r="A5" s="21" t="inlineStr">
        <is>
          <t>Tolerância diária (min)</t>
        </is>
      </c>
      <c r="B5" s="26" t="n">
        <v>10</v>
      </c>
      <c r="C5" s="23" t="inlineStr">
        <is>
          <t>Se a diferença do dia for de até este valor (para mais ou para menos), o banco do dia é 0. Acima disso entra o valor inteiro.</t>
        </is>
      </c>
    </row>
    <row r="6" ht="30" customHeight="1">
      <c r="A6" s="21" t="inlineStr">
        <is>
          <t>Almoço padrão</t>
        </is>
      </c>
      <c r="B6" s="22" t="n">
        <v>0.04166666666666666</v>
      </c>
      <c r="C6" s="23" t="inlineStr">
        <is>
          <t>Usado só para sugerir a saída enquanto o almoço do dia ainda não foi marcado.</t>
        </is>
      </c>
    </row>
    <row r="7" ht="30" customHeight="1">
      <c r="A7" s="21" t="inlineStr">
        <is>
          <t>Saldo inicial do banco (min)</t>
        </is>
      </c>
      <c r="B7" s="40" t="n">
        <v>0</v>
      </c>
      <c r="C7" s="23" t="inlineStr">
        <is>
          <t>Saldo que você já tinha antes do primeiro registro, em minutos (ex.: 90 = +1:30; -45 = -0:45).</t>
        </is>
      </c>
    </row>
    <row r="9">
      <c r="A9" s="28" t="inlineStr">
        <is>
          <t>Jornada em minutos (calculado)</t>
        </is>
      </c>
      <c r="B9" s="29">
        <f>ROUND(Jornada*1440,0)</f>
        <v/>
      </c>
    </row>
    <row r="11">
      <c r="A11" s="30" t="inlineStr">
        <is>
          <t>Como usar</t>
        </is>
      </c>
    </row>
    <row r="12">
      <c r="A12" s="31" t="inlineStr">
        <is>
          <t>1. Preencha apenas as colunas de fundo amarelo na aba Registros: Data, Tipo, os 4 horários e Observação.</t>
        </is>
      </c>
    </row>
    <row r="13">
      <c r="A13" s="31" t="inlineStr">
        <is>
          <t>2. Para um novo dia, digite na primeira linha vazia logo abaixo da tabela. Ela cresce sozinha e as fórmulas descem junto.</t>
        </is>
      </c>
    </row>
    <row r="14">
      <c r="A14" s="31" t="inlineStr">
        <is>
          <t>3. Tipo: Normal (padrão; vazio também conta como Normal), Feriado, Folga e Atestado (banco 0) e Falta (desconta a jornada inteira).</t>
        </is>
      </c>
    </row>
    <row r="15">
      <c r="A15" s="31" t="inlineStr">
        <is>
          <t>4. Enquanto faltar algum horário do dia, o status fica 'Em andamento' e o dia não entra no banco.</t>
        </is>
      </c>
    </row>
    <row r="16">
      <c r="A16" s="31" t="inlineStr">
        <is>
          <t>5. Regra do banco: diferença do dia de até 10 min = 0. A partir de 11 min, entra o valor inteiro (atraso no almoço também soma no total do dia).</t>
        </is>
      </c>
    </row>
    <row r="17">
      <c r="A17" s="31" t="inlineStr">
        <is>
          <t>6. Os valores em minutos (colunas Banco e Acumulado) são a base para o painel; as colunas em h:mm são só para leitura.</t>
        </is>
      </c>
    </row>
    <row r="18">
      <c r="A18" s="31" t="inlineStr">
        <is>
          <t>Fonte das regras: informadas pelo usuário (jornada 8:48, almoço de 1h não contado, tolerância de 10 min no total do dia).</t>
        </is>
      </c>
    </row>
    <row r="19">
      <c r="A19" s="30" t="inlineStr">
        <is>
          <t>Painel em VBA</t>
        </is>
      </c>
    </row>
    <row r="20">
      <c r="A20" s="32" t="inlineStr">
        <is>
          <t>1. Salve o arquivo como .xlsm (Pasta de Trabalho Habilitada para Macro).</t>
        </is>
      </c>
    </row>
    <row r="21">
      <c r="A21" s="32" t="inlineStr">
        <is>
          <t>2. Alt+F11 &gt; Arquivo &gt; Importar arquivo &gt; modInstalador.bas. Depois, Alt+F8 &gt; InstalarPainel &gt; Executar. O painel é um UserForm (frmPainel) aberto pelo botão Abrir painel.</t>
        </is>
      </c>
    </row>
    <row r="22">
      <c r="A22" s="32" t="inlineStr">
        <is>
          <t>3. Se aparecer aviso de acesso ao projeto VBA: Arquivo &gt; Opções &gt; Central de Confiabilidade &gt; Configurações &gt; Configurações de Macro &gt; marque 'Confiar no acesso ao modelo de objeto do projeto do VBA'.</t>
        </is>
      </c>
    </row>
    <row r="23">
      <c r="A23" s="32" t="inlineStr">
        <is>
          <t>Banco de horas: acumula sempre. Para começar com saldo de antes, use 'Saldo inicial do banco (min)' acima.</t>
        </is>
      </c>
    </row>
    <row r="24">
      <c r="A24" s="32" t="inlineStr">
        <is>
          <t>Não renomeie as abas Registros e Config, as tabelas (tbRegistros, tbFeriados) nem as colunas.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2026-10-08T16:14:13Z</dcterms:created>
  <dcterms:modified xmlns:dcterms="http://purl.org/dc/terms/" xmlns:xsi="http://www.w3.org/2001/XMLSchema-instance" xsi:type="dcterms:W3CDTF">2026-10-09T00:58:34Z</dcterms:modified>
</cp:coreProperties>
</file>